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ThisWorkbook"/>
  <bookViews>
    <workbookView xWindow="0" yWindow="0" windowWidth="21600" windowHeight="9735"/>
  </bookViews>
  <sheets>
    <sheet name="Dynamic Filter Demo" sheetId="8" r:id="rId1"/>
    <sheet name="UniqueList" sheetId="11" r:id="rId2"/>
    <sheet name="Sheet1" sheetId="12" r:id="rId3"/>
  </sheets>
  <definedNames>
    <definedName name="CIQWBGuid" hidden="1">"26ff19c1-a0e5-4351-aaea-f23fd9542c4d"</definedName>
    <definedName name="CountryList">UniqueList!$A$2:$A$9</definedName>
    <definedName name="Name">'Dynamic Filter Demo'!$J$7</definedName>
    <definedName name="San_Walle">Sheet1!#REF!</definedName>
    <definedName name="Vig_Wallet">'Dynamic Filter Demo'!$J$7</definedName>
    <definedName name="vig_wt1">'Dynamic Filter Demo'!$J$6</definedName>
    <definedName name="vignesh">Sheet1!$S$9:$S$16</definedName>
  </definedNames>
  <calcPr calcId="125725" calcOnSave="0"/>
</workbook>
</file>

<file path=xl/calcChain.xml><?xml version="1.0" encoding="utf-8"?>
<calcChain xmlns="http://schemas.openxmlformats.org/spreadsheetml/2006/main">
  <c r="F4" i="8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J28"/>
  <c r="K28"/>
  <c r="L28"/>
  <c r="M28"/>
  <c r="J29"/>
  <c r="K29"/>
  <c r="L29"/>
  <c r="M29"/>
  <c r="H19" i="12"/>
  <c r="G24"/>
  <c r="H29"/>
  <c r="H30"/>
  <c r="D11"/>
  <c r="D14"/>
  <c r="G10" i="8" l="1"/>
  <c r="G12"/>
  <c r="G22"/>
  <c r="G17"/>
  <c r="G23"/>
  <c r="G24"/>
  <c r="G8"/>
  <c r="G7"/>
  <c r="G14"/>
  <c r="G4"/>
  <c r="G15"/>
  <c r="G5"/>
  <c r="G25"/>
  <c r="G19"/>
  <c r="G9"/>
  <c r="G6"/>
  <c r="G16"/>
  <c r="G20"/>
  <c r="G11"/>
  <c r="G13"/>
  <c r="G18"/>
  <c r="G21"/>
  <c r="M18" l="1"/>
  <c r="L18"/>
  <c r="K18"/>
  <c r="J18"/>
  <c r="M16"/>
  <c r="L16"/>
  <c r="K16"/>
  <c r="J16"/>
  <c r="M12"/>
  <c r="L12"/>
  <c r="K12"/>
  <c r="J12"/>
  <c r="M22"/>
  <c r="L22"/>
  <c r="K22"/>
  <c r="J22"/>
  <c r="M6"/>
  <c r="L6"/>
  <c r="K6"/>
  <c r="J6"/>
  <c r="J27" i="12" s="1"/>
  <c r="M14" i="8"/>
  <c r="L14"/>
  <c r="K14"/>
  <c r="J14"/>
  <c r="M13"/>
  <c r="L13"/>
  <c r="K13"/>
  <c r="J13"/>
  <c r="M17"/>
  <c r="L17"/>
  <c r="K17"/>
  <c r="J17"/>
  <c r="M24"/>
  <c r="L24"/>
  <c r="K24"/>
  <c r="J24"/>
  <c r="M15"/>
  <c r="L15"/>
  <c r="K15"/>
  <c r="J15"/>
  <c r="M7"/>
  <c r="L7"/>
  <c r="K7"/>
  <c r="J7"/>
  <c r="M19"/>
  <c r="L19"/>
  <c r="K19"/>
  <c r="J19"/>
  <c r="M20"/>
  <c r="L20"/>
  <c r="K20"/>
  <c r="J20"/>
  <c r="M27"/>
  <c r="L27"/>
  <c r="K27"/>
  <c r="J27"/>
  <c r="M25"/>
  <c r="L25"/>
  <c r="K25"/>
  <c r="J25"/>
  <c r="M21"/>
  <c r="L21"/>
  <c r="K21"/>
  <c r="J21"/>
  <c r="M26"/>
  <c r="L26"/>
  <c r="K26"/>
  <c r="J26"/>
  <c r="M23"/>
  <c r="L23"/>
  <c r="K23"/>
  <c r="J23"/>
  <c r="M10"/>
  <c r="L10"/>
  <c r="K10"/>
  <c r="J10"/>
  <c r="M11"/>
  <c r="L11"/>
  <c r="K11"/>
  <c r="J11"/>
  <c r="M8"/>
  <c r="L8"/>
  <c r="K8"/>
  <c r="J8"/>
  <c r="M9"/>
  <c r="L9"/>
  <c r="K9"/>
  <c r="J9"/>
  <c r="I19" i="12" l="1"/>
</calcChain>
</file>

<file path=xl/sharedStrings.xml><?xml version="1.0" encoding="utf-8"?>
<sst xmlns="http://schemas.openxmlformats.org/spreadsheetml/2006/main" count="118" uniqueCount="47">
  <si>
    <t>Product Name</t>
  </si>
  <si>
    <t>Sales Rep</t>
  </si>
  <si>
    <t>Geography</t>
  </si>
  <si>
    <t>Product 1</t>
  </si>
  <si>
    <t>John</t>
  </si>
  <si>
    <t>India</t>
  </si>
  <si>
    <t>Product 2</t>
  </si>
  <si>
    <t>Joe</t>
  </si>
  <si>
    <t>China</t>
  </si>
  <si>
    <t>Product 3</t>
  </si>
  <si>
    <t>Mike</t>
  </si>
  <si>
    <t>Japan</t>
  </si>
  <si>
    <t>Racheal</t>
  </si>
  <si>
    <t>US</t>
  </si>
  <si>
    <t>Arvind</t>
  </si>
  <si>
    <t>Product 6</t>
  </si>
  <si>
    <t>Xin</t>
  </si>
  <si>
    <t>Harry</t>
  </si>
  <si>
    <t>Product 8</t>
  </si>
  <si>
    <t>Tom</t>
  </si>
  <si>
    <t>Product 9</t>
  </si>
  <si>
    <t>Paul</t>
  </si>
  <si>
    <t>Indonesia</t>
  </si>
  <si>
    <t>Product 10</t>
  </si>
  <si>
    <t>Stephen</t>
  </si>
  <si>
    <t>Philippines</t>
  </si>
  <si>
    <t>Product 11</t>
  </si>
  <si>
    <t>Singapore</t>
  </si>
  <si>
    <t>Product 12</t>
  </si>
  <si>
    <t>Product 13</t>
  </si>
  <si>
    <t>Product 14</t>
  </si>
  <si>
    <t>Canada</t>
  </si>
  <si>
    <t>Product 15</t>
  </si>
  <si>
    <t>Product 16</t>
  </si>
  <si>
    <t>Product 17</t>
  </si>
  <si>
    <t>Product 18</t>
  </si>
  <si>
    <t>Product 19</t>
  </si>
  <si>
    <t>Product 20</t>
  </si>
  <si>
    <t>Unique List</t>
  </si>
  <si>
    <t>Helper 2</t>
  </si>
  <si>
    <t>Country2</t>
  </si>
  <si>
    <t>Country1</t>
  </si>
  <si>
    <t>Product 21</t>
  </si>
  <si>
    <t>vds</t>
  </si>
  <si>
    <t>Product 22</t>
  </si>
  <si>
    <t>Column1</t>
  </si>
  <si>
    <t>Helper 1</t>
  </si>
</sst>
</file>

<file path=xl/styles.xml><?xml version="1.0" encoding="utf-8"?>
<styleSheet xmlns="http://schemas.openxmlformats.org/spreadsheetml/2006/main">
  <fonts count="6">
    <font>
      <sz val="11"/>
      <color theme="1"/>
      <name val="Constantia"/>
      <family val="2"/>
      <scheme val="minor"/>
    </font>
    <font>
      <b/>
      <sz val="11"/>
      <color theme="0"/>
      <name val="Constantia"/>
      <family val="2"/>
      <scheme val="minor"/>
    </font>
    <font>
      <u/>
      <sz val="11"/>
      <color theme="10"/>
      <name val="Constantia"/>
      <family val="2"/>
      <scheme val="minor"/>
    </font>
    <font>
      <b/>
      <sz val="11"/>
      <color theme="1"/>
      <name val="Constantia"/>
      <family val="2"/>
      <scheme val="minor"/>
    </font>
    <font>
      <b/>
      <sz val="11"/>
      <color theme="1"/>
      <name val="Constantia"/>
      <family val="1"/>
      <scheme val="minor"/>
    </font>
    <font>
      <u/>
      <sz val="11"/>
      <name val="Constanti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/>
    <xf numFmtId="0" fontId="4" fillId="0" borderId="0" xfId="0" applyFont="1" applyFill="1" applyBorder="1"/>
    <xf numFmtId="0" fontId="0" fillId="0" borderId="0" xfId="0" applyFill="1" applyBorder="1"/>
    <xf numFmtId="0" fontId="5" fillId="0" borderId="0" xfId="1" applyFont="1" applyFill="1"/>
    <xf numFmtId="0" fontId="0" fillId="0" borderId="0" xfId="0" applyBorder="1" applyAlignment="1">
      <alignment vertical="center"/>
    </xf>
    <xf numFmtId="0" fontId="0" fillId="0" borderId="2" xfId="0" applyBorder="1" applyAlignment="1"/>
    <xf numFmtId="0" fontId="3" fillId="2" borderId="2" xfId="0" applyFont="1" applyFill="1" applyBorder="1" applyAlignment="1"/>
    <xf numFmtId="0" fontId="1" fillId="3" borderId="1" xfId="0" applyFont="1" applyFill="1" applyBorder="1" applyAlignment="1"/>
    <xf numFmtId="0" fontId="3" fillId="2" borderId="3" xfId="0" applyFont="1" applyFill="1" applyBorder="1" applyAlignment="1"/>
    <xf numFmtId="0" fontId="0" fillId="0" borderId="3" xfId="0" applyBorder="1" applyAlignment="1"/>
    <xf numFmtId="0" fontId="1" fillId="3" borderId="4" xfId="0" applyFont="1" applyFill="1" applyBorder="1" applyAlignment="1"/>
    <xf numFmtId="0" fontId="0" fillId="0" borderId="3" xfId="0" applyBorder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8" xfId="0" applyFont="1" applyFill="1" applyBorder="1" applyAlignment="1"/>
    <xf numFmtId="0" fontId="4" fillId="2" borderId="7" xfId="0" applyFont="1" applyFill="1" applyBorder="1" applyAlignment="1"/>
    <xf numFmtId="0" fontId="0" fillId="0" borderId="2" xfId="0" applyNumberFormat="1" applyBorder="1"/>
    <xf numFmtId="0" fontId="0" fillId="0" borderId="5" xfId="0" applyNumberFormat="1" applyBorder="1"/>
    <xf numFmtId="0" fontId="0" fillId="0" borderId="1" xfId="0" applyNumberFormat="1" applyBorder="1"/>
    <xf numFmtId="0" fontId="2" fillId="0" borderId="0" xfId="1"/>
    <xf numFmtId="0" fontId="0" fillId="4" borderId="2" xfId="0" applyFont="1" applyFill="1" applyBorder="1"/>
    <xf numFmtId="0" fontId="0" fillId="0" borderId="0" xfId="0" applyAlignment="1"/>
    <xf numFmtId="0" fontId="0" fillId="0" borderId="4" xfId="0" applyNumberFormat="1" applyBorder="1"/>
  </cellXfs>
  <cellStyles count="2">
    <cellStyle name="Hyperlink" xfId="1" builtinId="8"/>
    <cellStyle name="Normal" xfId="0" builtinId="0"/>
  </cellStyles>
  <dxfs count="15">
    <dxf>
      <numFmt numFmtId="0" formatCode="General"/>
    </dxf>
    <dxf>
      <numFmt numFmtId="0" formatCode="General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numFmt numFmtId="0" formatCode="General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0" formatCode="General"/>
      <border diagonalUp="0" diagonalDown="0" outline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tantia"/>
        <scheme val="minor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outline="0">
        <left style="thin">
          <color theme="0" tint="-0.34998626667073579"/>
        </left>
        <right style="thin">
          <color indexed="64"/>
        </right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trumpexcel.co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209550</xdr:rowOff>
    </xdr:from>
    <xdr:to>
      <xdr:col>6</xdr:col>
      <xdr:colOff>286025</xdr:colOff>
      <xdr:row>5</xdr:row>
      <xdr:rowOff>85823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5075" y="361950"/>
          <a:ext cx="1971950" cy="70494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3:G25" totalsRowShown="0" tableBorderDxfId="14">
  <autoFilter ref="B3:G25">
    <filterColumn colId="0"/>
  </autoFilter>
  <sortState ref="B4:G25">
    <sortCondition ref="B3:B25"/>
  </sortState>
  <tableColumns count="6">
    <tableColumn id="1" name="Product Name" dataDxfId="13"/>
    <tableColumn id="2" name="Sales Rep" dataDxfId="12"/>
    <tableColumn id="3" name="Country1" dataDxfId="11"/>
    <tableColumn id="4" name="Country2" dataDxfId="10"/>
    <tableColumn id="6" name="Helper 1" dataDxfId="9">
      <calculatedColumnFormula>IF(OR(ISNUMBER(SEARCH($K$4,E4)),ISNUMBER(SEARCH($K$4,D4))),ROWS($B$4:B4),"")</calculatedColumnFormula>
    </tableColumn>
    <tableColumn id="7" name="Helper 2" dataDxfId="8">
      <calculatedColumnFormula>IFERROR(SMALL($F$4:$F$25,ROWS($B$4:B4)),"")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J5:M29" totalsRowShown="0" headerRowDxfId="7" headerRowBorderDxfId="6" tableBorderDxfId="5" totalsRowBorderDxfId="4">
  <autoFilter ref="J5:M29"/>
  <tableColumns count="4">
    <tableColumn id="1" name="Product Name" dataDxfId="3">
      <calculatedColumnFormula>IFERROR(INDEX(Table1[[Product Name]:[Country2]],'Dynamic Filter Demo'!$G4,COLUMNS($J$5:J5)),"")</calculatedColumnFormula>
    </tableColumn>
    <tableColumn id="2" name="Sales Rep" dataDxfId="2">
      <calculatedColumnFormula>IFERROR(INDEX(Table1[[Product Name]:[Country2]],'Dynamic Filter Demo'!$G4,COLUMNS($J$5:K5)),"")</calculatedColumnFormula>
    </tableColumn>
    <tableColumn id="3" name="Geography" dataDxfId="1">
      <calculatedColumnFormula>IFERROR(INDEX(Table1[[Product Name]:[Country2]],'Dynamic Filter Demo'!G4,COLUMNS($J$5:L5)),"")</calculatedColumnFormula>
    </tableColumn>
    <tableColumn id="4" name="Column1" dataDxfId="0">
      <calculatedColumnFormula>IFERROR(INDEX(Table1[[Product Name]:[Country2]],'Dynamic Filter Demo'!G4,COLUMNS($J$5:M5)),"")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ow">
  <a:themeElements>
    <a:clrScheme name="Grid">
      <a:dk1>
        <a:sysClr val="windowText" lastClr="000000"/>
      </a:dk1>
      <a:lt1>
        <a:sysClr val="window" lastClr="FFFFFF"/>
      </a:lt1>
      <a:dk2>
        <a:srgbClr val="534949"/>
      </a:dk2>
      <a:lt2>
        <a:srgbClr val="CCD1B9"/>
      </a:lt2>
      <a:accent1>
        <a:srgbClr val="C66951"/>
      </a:accent1>
      <a:accent2>
        <a:srgbClr val="BF974D"/>
      </a:accent2>
      <a:accent3>
        <a:srgbClr val="928B70"/>
      </a:accent3>
      <a:accent4>
        <a:srgbClr val="87706B"/>
      </a:accent4>
      <a:accent5>
        <a:srgbClr val="94734E"/>
      </a:accent5>
      <a:accent6>
        <a:srgbClr val="6F777D"/>
      </a:accent6>
      <a:hlink>
        <a:srgbClr val="CC9900"/>
      </a:hlink>
      <a:folHlink>
        <a:srgbClr val="C0C0C0"/>
      </a:folHlink>
    </a:clrScheme>
    <a:fontScheme name="Flow">
      <a:majorFont>
        <a:latin typeface="Calibri"/>
        <a:ea typeface=""/>
        <a:cs typeface=""/>
        <a:font script="Jpan" typeface="ＭＳ Ｐゴシック"/>
        <a:font script="Hang" typeface="HY중고딕"/>
        <a:font script="Hans" typeface="隶书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宋体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ow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50000" t="130000" r="50000" b="-3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50000" t="130000" r="50000" b="-30000"/>
          </a:path>
        </a:gradFill>
      </a:fillStyleLst>
      <a:lnStyleLst>
        <a:ln w="952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  <a:scene3d>
            <a:camera prst="orthographicFront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20000"/>
              </a:schemeClr>
            </a:gs>
            <a:gs pos="100000">
              <a:schemeClr val="phClr">
                <a:shade val="15000"/>
                <a:satMod val="320000"/>
              </a:schemeClr>
            </a:gs>
          </a:gsLst>
          <a:path path="circle">
            <a:fillToRect l="10000" t="110000" r="1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50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R37"/>
  <sheetViews>
    <sheetView showGridLines="0" tabSelected="1" zoomScale="115" zoomScaleNormal="115" workbookViewId="0">
      <selection activeCell="G4" sqref="G4"/>
    </sheetView>
  </sheetViews>
  <sheetFormatPr defaultRowHeight="15"/>
  <cols>
    <col min="1" max="1" width="2.625" customWidth="1"/>
    <col min="2" max="2" width="15.5" customWidth="1"/>
    <col min="3" max="3" width="11.625" customWidth="1"/>
    <col min="4" max="4" width="11.625" style="1" customWidth="1"/>
    <col min="5" max="5" width="11.625" customWidth="1"/>
    <col min="6" max="7" width="10.25" style="1" customWidth="1"/>
    <col min="8" max="8" width="5.25" style="1" customWidth="1"/>
    <col min="9" max="9" width="15.5" customWidth="1"/>
    <col min="10" max="10" width="11.25" customWidth="1"/>
    <col min="11" max="11" width="12.5" customWidth="1"/>
    <col min="12" max="12" width="10.875" bestFit="1" customWidth="1"/>
  </cols>
  <sheetData>
    <row r="1" spans="2:18" s="1" customFormat="1" ht="12" customHeight="1"/>
    <row r="2" spans="2:18" ht="20.25" customHeight="1">
      <c r="H2"/>
    </row>
    <row r="3" spans="2:18">
      <c r="B3" s="9" t="s">
        <v>0</v>
      </c>
      <c r="C3" s="7" t="s">
        <v>1</v>
      </c>
      <c r="D3" s="7" t="s">
        <v>41</v>
      </c>
      <c r="E3" s="7" t="s">
        <v>40</v>
      </c>
      <c r="F3" s="8" t="s">
        <v>46</v>
      </c>
      <c r="G3" s="11" t="s">
        <v>39</v>
      </c>
    </row>
    <row r="4" spans="2:18">
      <c r="B4" s="10" t="s">
        <v>3</v>
      </c>
      <c r="C4" s="6" t="s">
        <v>4</v>
      </c>
      <c r="D4" s="6" t="s">
        <v>8</v>
      </c>
      <c r="E4" s="6" t="s">
        <v>5</v>
      </c>
      <c r="F4" s="19">
        <f>IF(OR(ISNUMBER(SEARCH($K$4,E4)),ISNUMBER(SEARCH($K$4,D4))),ROWS($B$4:B4),"")</f>
        <v>1</v>
      </c>
      <c r="G4" s="23">
        <f>IFERROR(SMALL($F$4:$F$25,ROWS($B$4:B4)),"")</f>
        <v>1</v>
      </c>
      <c r="K4" s="6" t="s">
        <v>5</v>
      </c>
    </row>
    <row r="5" spans="2:18">
      <c r="B5" s="10" t="s">
        <v>23</v>
      </c>
      <c r="C5" s="6" t="s">
        <v>24</v>
      </c>
      <c r="D5" s="6" t="s">
        <v>25</v>
      </c>
      <c r="E5" s="6" t="s">
        <v>25</v>
      </c>
      <c r="F5" s="19" t="str">
        <f>IF(OR(ISNUMBER(SEARCH($K$4,E5)),ISNUMBER(SEARCH($K$4,D5))),ROWS($B$4:B5),"")</f>
        <v/>
      </c>
      <c r="G5" s="23">
        <f>IFERROR(SMALL($F$4:$F$25,ROWS($B$4:B5)),"")</f>
        <v>6</v>
      </c>
      <c r="J5" s="13" t="s">
        <v>0</v>
      </c>
      <c r="K5" s="14" t="s">
        <v>1</v>
      </c>
      <c r="L5" s="15" t="s">
        <v>2</v>
      </c>
      <c r="M5" s="16" t="s">
        <v>45</v>
      </c>
    </row>
    <row r="6" spans="2:18">
      <c r="B6" s="10" t="s">
        <v>26</v>
      </c>
      <c r="C6" s="6" t="s">
        <v>21</v>
      </c>
      <c r="D6" s="6" t="s">
        <v>31</v>
      </c>
      <c r="E6" s="6" t="s">
        <v>27</v>
      </c>
      <c r="F6" s="19" t="str">
        <f>IF(OR(ISNUMBER(SEARCH($K$4,E6)),ISNUMBER(SEARCH($K$4,D6))),ROWS($B$4:B6),"")</f>
        <v/>
      </c>
      <c r="G6" s="23">
        <f>IFERROR(SMALL($F$4:$F$25,ROWS($B$4:B6)),"")</f>
        <v>7</v>
      </c>
      <c r="J6" s="21" t="str">
        <f>IFERROR(INDEX(Table1[[Product Name]:[Country2]],'Dynamic Filter Demo'!$G4,COLUMNS($J$5:J5)),"")</f>
        <v>Product 1</v>
      </c>
      <c r="K6" s="17" t="str">
        <f>IFERROR(INDEX(Table1[[Product Name]:[Country2]],'Dynamic Filter Demo'!$G4,COLUMNS($J$5:K5)),"")</f>
        <v>John</v>
      </c>
      <c r="L6" s="18" t="str">
        <f>IFERROR(INDEX(Table1[[Product Name]:[Country2]],'Dynamic Filter Demo'!G4,COLUMNS($J$5:L5)),"")</f>
        <v>China</v>
      </c>
      <c r="M6" s="18" t="str">
        <f>IFERROR(INDEX(Table1[[Product Name]:[Country2]],'Dynamic Filter Demo'!G4,COLUMNS($J$5:M5)),"")</f>
        <v>India</v>
      </c>
    </row>
    <row r="7" spans="2:18">
      <c r="B7" s="10" t="s">
        <v>28</v>
      </c>
      <c r="C7" s="6" t="s">
        <v>17</v>
      </c>
      <c r="D7" s="6" t="s">
        <v>27</v>
      </c>
      <c r="E7" s="6" t="s">
        <v>27</v>
      </c>
      <c r="F7" s="19" t="str">
        <f>IF(OR(ISNUMBER(SEARCH($K$4,E7)),ISNUMBER(SEARCH($K$4,D7))),ROWS($B$4:B7),"")</f>
        <v/>
      </c>
      <c r="G7" s="23">
        <f>IFERROR(SMALL($F$4:$F$25,ROWS($B$4:B7)),"")</f>
        <v>13</v>
      </c>
      <c r="J7" s="12" t="str">
        <f>IFERROR(INDEX(Table1[[Product Name]:[Country2]],'Dynamic Filter Demo'!$G5,COLUMNS($J$5:J6)),"")</f>
        <v>Product 13</v>
      </c>
      <c r="K7" s="17" t="str">
        <f>IFERROR(INDEX(Table1[[Product Name]:[Country2]],'Dynamic Filter Demo'!$G5,COLUMNS($J$5:K6)),"")</f>
        <v>John</v>
      </c>
      <c r="L7" s="18" t="str">
        <f>IFERROR(INDEX(Table1[[Product Name]:[Country2]],'Dynamic Filter Demo'!G5,COLUMNS($J$5:L6)),"")</f>
        <v>India</v>
      </c>
      <c r="M7" s="18" t="str">
        <f>IFERROR(INDEX(Table1[[Product Name]:[Country2]],'Dynamic Filter Demo'!G5,COLUMNS($J$5:M6)),"")</f>
        <v>India</v>
      </c>
    </row>
    <row r="8" spans="2:18">
      <c r="B8" s="12" t="s">
        <v>29</v>
      </c>
      <c r="C8" s="6" t="s">
        <v>17</v>
      </c>
      <c r="D8" s="6" t="s">
        <v>13</v>
      </c>
      <c r="E8" s="6" t="s">
        <v>13</v>
      </c>
      <c r="F8" s="19" t="str">
        <f>IF(OR(ISNUMBER(SEARCH($K$4,E8)),ISNUMBER(SEARCH($K$4,D8))),ROWS($B$4:B8),"")</f>
        <v/>
      </c>
      <c r="G8" s="23">
        <f>IFERROR(SMALL($F$4:$F$25,ROWS($B$4:B8)),"")</f>
        <v>16</v>
      </c>
      <c r="J8" s="12" t="str">
        <f>IFERROR(INDEX(Table1[[Product Name]:[Country2]],'Dynamic Filter Demo'!$G6,COLUMNS($J$5:J7)),"")</f>
        <v>Product 13</v>
      </c>
      <c r="K8" s="17" t="str">
        <f>IFERROR(INDEX(Table1[[Product Name]:[Country2]],'Dynamic Filter Demo'!$G6,COLUMNS($J$5:K7)),"")</f>
        <v>Racheal</v>
      </c>
      <c r="L8" s="18" t="str">
        <f>IFERROR(INDEX(Table1[[Product Name]:[Country2]],'Dynamic Filter Demo'!G6,COLUMNS($J$5:L7)),"")</f>
        <v>India</v>
      </c>
      <c r="M8" s="18" t="str">
        <f>IFERROR(INDEX(Table1[[Product Name]:[Country2]],'Dynamic Filter Demo'!G6,COLUMNS($J$5:M7)),"")</f>
        <v>US</v>
      </c>
    </row>
    <row r="9" spans="2:18">
      <c r="B9" s="10" t="s">
        <v>29</v>
      </c>
      <c r="C9" s="6" t="s">
        <v>4</v>
      </c>
      <c r="D9" s="6" t="s">
        <v>5</v>
      </c>
      <c r="E9" s="6" t="s">
        <v>5</v>
      </c>
      <c r="F9" s="19">
        <f>IF(OR(ISNUMBER(SEARCH($K$4,E9)),ISNUMBER(SEARCH($K$4,D9))),ROWS($B$4:B9),"")</f>
        <v>6</v>
      </c>
      <c r="G9" s="23">
        <f>IFERROR(SMALL($F$4:$F$25,ROWS($B$4:B9)),"")</f>
        <v>17</v>
      </c>
      <c r="J9" s="12" t="str">
        <f>IFERROR(INDEX(Table1[[Product Name]:[Country2]],'Dynamic Filter Demo'!$G7,COLUMNS($J$5:J8)),"")</f>
        <v>Product 18</v>
      </c>
      <c r="K9" s="17" t="str">
        <f>IFERROR(INDEX(Table1[[Product Name]:[Country2]],'Dynamic Filter Demo'!$G7,COLUMNS($J$5:K8)),"")</f>
        <v>Arvind</v>
      </c>
      <c r="L9" s="18" t="str">
        <f>IFERROR(INDEX(Table1[[Product Name]:[Country2]],'Dynamic Filter Demo'!G7,COLUMNS($J$5:L8)),"")</f>
        <v>India</v>
      </c>
      <c r="M9" s="18" t="str">
        <f>IFERROR(INDEX(Table1[[Product Name]:[Country2]],'Dynamic Filter Demo'!G7,COLUMNS($J$5:M8)),"")</f>
        <v>India</v>
      </c>
      <c r="P9" s="1"/>
      <c r="Q9" s="1"/>
      <c r="R9" s="1"/>
    </row>
    <row r="10" spans="2:18">
      <c r="B10" s="22" t="s">
        <v>29</v>
      </c>
      <c r="C10" s="6" t="s">
        <v>12</v>
      </c>
      <c r="D10" s="6" t="s">
        <v>5</v>
      </c>
      <c r="E10" s="6" t="s">
        <v>13</v>
      </c>
      <c r="F10" s="19">
        <f>IF(OR(ISNUMBER(SEARCH($K$4,E10)),ISNUMBER(SEARCH($K$4,D10))),ROWS($B$4:B10),"")</f>
        <v>7</v>
      </c>
      <c r="G10" s="23">
        <f>IFERROR(SMALL($F$4:$F$25,ROWS($B$4:B10)),"")</f>
        <v>18</v>
      </c>
      <c r="J10" s="12" t="str">
        <f>IFERROR(INDEX(Table1[[Product Name]:[Country2]],'Dynamic Filter Demo'!$G8,COLUMNS($J$5:J9)),"")</f>
        <v>Product 20</v>
      </c>
      <c r="K10" s="17" t="str">
        <f>IFERROR(INDEX(Table1[[Product Name]:[Country2]],'Dynamic Filter Demo'!$G8,COLUMNS($J$5:K9)),"")</f>
        <v>Joe</v>
      </c>
      <c r="L10" s="18" t="str">
        <f>IFERROR(INDEX(Table1[[Product Name]:[Country2]],'Dynamic Filter Demo'!G8,COLUMNS($J$5:L9)),"")</f>
        <v>India</v>
      </c>
      <c r="M10" s="18" t="str">
        <f>IFERROR(INDEX(Table1[[Product Name]:[Country2]],'Dynamic Filter Demo'!G8,COLUMNS($J$5:M9)),"")</f>
        <v>India</v>
      </c>
      <c r="O10" s="1"/>
      <c r="P10" s="1"/>
    </row>
    <row r="11" spans="2:18">
      <c r="B11" s="10" t="s">
        <v>30</v>
      </c>
      <c r="C11" s="6" t="s">
        <v>10</v>
      </c>
      <c r="D11" s="6" t="s">
        <v>31</v>
      </c>
      <c r="E11" s="6" t="s">
        <v>31</v>
      </c>
      <c r="F11" s="19" t="str">
        <f>IF(OR(ISNUMBER(SEARCH($K$4,E11)),ISNUMBER(SEARCH($K$4,D11))),ROWS($B$4:B11),"")</f>
        <v/>
      </c>
      <c r="G11" s="23">
        <f>IFERROR(SMALL($F$4:$F$25,ROWS($B$4:B11)),"")</f>
        <v>21</v>
      </c>
      <c r="J11" s="12" t="str">
        <f>IFERROR(INDEX(Table1[[Product Name]:[Country2]],'Dynamic Filter Demo'!$G9,COLUMNS($J$5:J10)),"")</f>
        <v>Product 21</v>
      </c>
      <c r="K11" s="17" t="str">
        <f>IFERROR(INDEX(Table1[[Product Name]:[Country2]],'Dynamic Filter Demo'!$G9,COLUMNS($J$5:K10)),"")</f>
        <v>vds</v>
      </c>
      <c r="L11" s="18" t="str">
        <f>IFERROR(INDEX(Table1[[Product Name]:[Country2]],'Dynamic Filter Demo'!G9,COLUMNS($J$5:L10)),"")</f>
        <v>India</v>
      </c>
      <c r="M11" s="18" t="str">
        <f>IFERROR(INDEX(Table1[[Product Name]:[Country2]],'Dynamic Filter Demo'!G9,COLUMNS($J$5:M10)),"")</f>
        <v>India</v>
      </c>
      <c r="O11" s="1"/>
      <c r="P11" s="1"/>
    </row>
    <row r="12" spans="2:18">
      <c r="B12" s="10" t="s">
        <v>32</v>
      </c>
      <c r="C12" s="6" t="s">
        <v>10</v>
      </c>
      <c r="D12" s="6" t="s">
        <v>11</v>
      </c>
      <c r="E12" s="6" t="s">
        <v>11</v>
      </c>
      <c r="F12" s="19" t="str">
        <f>IF(OR(ISNUMBER(SEARCH($K$4,E12)),ISNUMBER(SEARCH($K$4,D12))),ROWS($B$4:B12),"")</f>
        <v/>
      </c>
      <c r="G12" s="23" t="str">
        <f>IFERROR(SMALL($F$4:$F$25,ROWS($B$4:B12)),"")</f>
        <v/>
      </c>
      <c r="J12" s="12" t="str">
        <f>IFERROR(INDEX(Table1[[Product Name]:[Country2]],'Dynamic Filter Demo'!$G10,COLUMNS($J$5:J11)),"")</f>
        <v>Product 22</v>
      </c>
      <c r="K12" s="17" t="str">
        <f>IFERROR(INDEX(Table1[[Product Name]:[Country2]],'Dynamic Filter Demo'!$G10,COLUMNS($J$5:K11)),"")</f>
        <v>vds</v>
      </c>
      <c r="L12" s="18" t="str">
        <f>IFERROR(INDEX(Table1[[Product Name]:[Country2]],'Dynamic Filter Demo'!G10,COLUMNS($J$5:L11)),"")</f>
        <v>India</v>
      </c>
      <c r="M12" s="18" t="str">
        <f>IFERROR(INDEX(Table1[[Product Name]:[Country2]],'Dynamic Filter Demo'!G10,COLUMNS($J$5:M11)),"")</f>
        <v>India</v>
      </c>
      <c r="O12" s="1"/>
      <c r="P12" s="1"/>
    </row>
    <row r="13" spans="2:18">
      <c r="B13" s="10" t="s">
        <v>33</v>
      </c>
      <c r="C13" s="6" t="s">
        <v>21</v>
      </c>
      <c r="D13" s="6" t="s">
        <v>11</v>
      </c>
      <c r="E13" s="6" t="s">
        <v>11</v>
      </c>
      <c r="F13" s="19" t="str">
        <f>IF(OR(ISNUMBER(SEARCH($K$4,E13)),ISNUMBER(SEARCH($K$4,D13))),ROWS($B$4:B13),"")</f>
        <v/>
      </c>
      <c r="G13" s="23" t="str">
        <f>IFERROR(SMALL($F$4:$F$25,ROWS($B$4:B13)),"")</f>
        <v/>
      </c>
      <c r="J13" s="12" t="str">
        <f>IFERROR(INDEX(Table1[[Product Name]:[Country2]],'Dynamic Filter Demo'!$G11,COLUMNS($J$5:J12)),"")</f>
        <v>Product 8</v>
      </c>
      <c r="K13" s="17" t="str">
        <f>IFERROR(INDEX(Table1[[Product Name]:[Country2]],'Dynamic Filter Demo'!$G11,COLUMNS($J$5:K12)),"")</f>
        <v>Tom</v>
      </c>
      <c r="L13" s="18" t="str">
        <f>IFERROR(INDEX(Table1[[Product Name]:[Country2]],'Dynamic Filter Demo'!G11,COLUMNS($J$5:L12)),"")</f>
        <v>India</v>
      </c>
      <c r="M13" s="18" t="str">
        <f>IFERROR(INDEX(Table1[[Product Name]:[Country2]],'Dynamic Filter Demo'!G11,COLUMNS($J$5:M12)),"")</f>
        <v>India</v>
      </c>
      <c r="O13" s="1"/>
      <c r="P13" s="1"/>
    </row>
    <row r="14" spans="2:18">
      <c r="B14" s="10" t="s">
        <v>34</v>
      </c>
      <c r="C14" s="6" t="s">
        <v>12</v>
      </c>
      <c r="D14" s="6" t="s">
        <v>13</v>
      </c>
      <c r="E14" s="6" t="s">
        <v>13</v>
      </c>
      <c r="F14" s="19" t="str">
        <f>IF(OR(ISNUMBER(SEARCH($K$4,E14)),ISNUMBER(SEARCH($K$4,D14))),ROWS($B$4:B14),"")</f>
        <v/>
      </c>
      <c r="G14" s="23" t="str">
        <f>IFERROR(SMALL($F$4:$F$25,ROWS($B$4:B14)),"")</f>
        <v/>
      </c>
      <c r="J14" s="12" t="str">
        <f>IFERROR(INDEX(Table1[[Product Name]:[Country2]],'Dynamic Filter Demo'!$G12,COLUMNS($J$5:J13)),"")</f>
        <v/>
      </c>
      <c r="K14" s="17" t="str">
        <f>IFERROR(INDEX(Table1[[Product Name]:[Country2]],'Dynamic Filter Demo'!$G12,COLUMNS($J$5:K13)),"")</f>
        <v/>
      </c>
      <c r="L14" s="18" t="str">
        <f>IFERROR(INDEX(Table1[[Product Name]:[Country2]],'Dynamic Filter Demo'!G12,COLUMNS($J$5:L13)),"")</f>
        <v/>
      </c>
      <c r="M14" s="18" t="str">
        <f>IFERROR(INDEX(Table1[[Product Name]:[Country2]],'Dynamic Filter Demo'!G12,COLUMNS($J$5:M13)),"")</f>
        <v/>
      </c>
      <c r="O14" s="1"/>
      <c r="P14" s="1"/>
    </row>
    <row r="15" spans="2:18">
      <c r="B15" s="10" t="s">
        <v>35</v>
      </c>
      <c r="C15" s="6" t="s">
        <v>21</v>
      </c>
      <c r="D15" s="6" t="s">
        <v>13</v>
      </c>
      <c r="E15" s="6" t="s">
        <v>13</v>
      </c>
      <c r="F15" s="19" t="str">
        <f>IF(OR(ISNUMBER(SEARCH($K$4,E15)),ISNUMBER(SEARCH($K$4,D15))),ROWS($B$4:B15),"")</f>
        <v/>
      </c>
      <c r="G15" s="23" t="str">
        <f>IFERROR(SMALL($F$4:$F$25,ROWS($B$4:B15)),"")</f>
        <v/>
      </c>
      <c r="J15" s="12" t="str">
        <f>IFERROR(INDEX(Table1[[Product Name]:[Country2]],'Dynamic Filter Demo'!$G13,COLUMNS($J$5:J14)),"")</f>
        <v/>
      </c>
      <c r="K15" s="17" t="str">
        <f>IFERROR(INDEX(Table1[[Product Name]:[Country2]],'Dynamic Filter Demo'!$G13,COLUMNS($J$5:K14)),"")</f>
        <v/>
      </c>
      <c r="L15" s="18" t="str">
        <f>IFERROR(INDEX(Table1[[Product Name]:[Country2]],'Dynamic Filter Demo'!G13,COLUMNS($J$5:L14)),"")</f>
        <v/>
      </c>
      <c r="M15" s="18" t="str">
        <f>IFERROR(INDEX(Table1[[Product Name]:[Country2]],'Dynamic Filter Demo'!G13,COLUMNS($J$5:M14)),"")</f>
        <v/>
      </c>
      <c r="O15" s="1"/>
      <c r="P15" s="1"/>
    </row>
    <row r="16" spans="2:18">
      <c r="B16" s="10" t="s">
        <v>35</v>
      </c>
      <c r="C16" s="6" t="s">
        <v>14</v>
      </c>
      <c r="D16" s="6" t="s">
        <v>5</v>
      </c>
      <c r="E16" s="6" t="s">
        <v>5</v>
      </c>
      <c r="F16" s="19">
        <f>IF(OR(ISNUMBER(SEARCH($K$4,E16)),ISNUMBER(SEARCH($K$4,D16))),ROWS($B$4:B16),"")</f>
        <v>13</v>
      </c>
      <c r="G16" s="23" t="str">
        <f>IFERROR(SMALL($F$4:$F$25,ROWS($B$4:B16)),"")</f>
        <v/>
      </c>
      <c r="J16" s="12" t="str">
        <f>IFERROR(INDEX(Table1[[Product Name]:[Country2]],'Dynamic Filter Demo'!$G14,COLUMNS($J$5:J15)),"")</f>
        <v/>
      </c>
      <c r="K16" s="17" t="str">
        <f>IFERROR(INDEX(Table1[[Product Name]:[Country2]],'Dynamic Filter Demo'!$G14,COLUMNS($J$5:K15)),"")</f>
        <v/>
      </c>
      <c r="L16" s="18" t="str">
        <f>IFERROR(INDEX(Table1[[Product Name]:[Country2]],'Dynamic Filter Demo'!G14,COLUMNS($J$5:L15)),"")</f>
        <v/>
      </c>
      <c r="M16" s="18" t="str">
        <f>IFERROR(INDEX(Table1[[Product Name]:[Country2]],'Dynamic Filter Demo'!G14,COLUMNS($J$5:M15)),"")</f>
        <v/>
      </c>
    </row>
    <row r="17" spans="2:13">
      <c r="B17" s="10" t="s">
        <v>36</v>
      </c>
      <c r="C17" s="6" t="s">
        <v>7</v>
      </c>
      <c r="D17" s="6" t="s">
        <v>31</v>
      </c>
      <c r="E17" s="6" t="s">
        <v>31</v>
      </c>
      <c r="F17" s="19" t="str">
        <f>IF(OR(ISNUMBER(SEARCH($K$4,E17)),ISNUMBER(SEARCH($K$4,D17))),ROWS($B$4:B17),"")</f>
        <v/>
      </c>
      <c r="G17" s="23" t="str">
        <f>IFERROR(SMALL($F$4:$F$25,ROWS($B$4:B17)),"")</f>
        <v/>
      </c>
      <c r="J17" s="12" t="str">
        <f>IFERROR(INDEX(Table1[[Product Name]:[Country2]],'Dynamic Filter Demo'!$G15,COLUMNS($J$5:J16)),"")</f>
        <v/>
      </c>
      <c r="K17" s="17" t="str">
        <f>IFERROR(INDEX(Table1[[Product Name]:[Country2]],'Dynamic Filter Demo'!$G15,COLUMNS($J$5:K16)),"")</f>
        <v/>
      </c>
      <c r="L17" s="18" t="str">
        <f>IFERROR(INDEX(Table1[[Product Name]:[Country2]],'Dynamic Filter Demo'!G15,COLUMNS($J$5:L16)),"")</f>
        <v/>
      </c>
      <c r="M17" s="18" t="str">
        <f>IFERROR(INDEX(Table1[[Product Name]:[Country2]],'Dynamic Filter Demo'!G15,COLUMNS($J$5:M16)),"")</f>
        <v/>
      </c>
    </row>
    <row r="18" spans="2:13">
      <c r="B18" s="10" t="s">
        <v>6</v>
      </c>
      <c r="C18" s="6" t="s">
        <v>7</v>
      </c>
      <c r="D18" s="6" t="s">
        <v>8</v>
      </c>
      <c r="E18" s="6" t="s">
        <v>8</v>
      </c>
      <c r="F18" s="19" t="str">
        <f>IF(OR(ISNUMBER(SEARCH($K$4,E18)),ISNUMBER(SEARCH($K$4,D18))),ROWS($B$4:B18),"")</f>
        <v/>
      </c>
      <c r="G18" s="23" t="str">
        <f>IFERROR(SMALL($F$4:$F$25,ROWS($B$4:B18)),"")</f>
        <v/>
      </c>
      <c r="J18" s="12" t="str">
        <f>IFERROR(INDEX(Table1[[Product Name]:[Country2]],'Dynamic Filter Demo'!$G16,COLUMNS($J$5:J17)),"")</f>
        <v/>
      </c>
      <c r="K18" s="17" t="str">
        <f>IFERROR(INDEX(Table1[[Product Name]:[Country2]],'Dynamic Filter Demo'!$G16,COLUMNS($J$5:K17)),"")</f>
        <v/>
      </c>
      <c r="L18" s="18" t="str">
        <f>IFERROR(INDEX(Table1[[Product Name]:[Country2]],'Dynamic Filter Demo'!G16,COLUMNS($J$5:L17)),"")</f>
        <v/>
      </c>
      <c r="M18" s="18" t="str">
        <f>IFERROR(INDEX(Table1[[Product Name]:[Country2]],'Dynamic Filter Demo'!G16,COLUMNS($J$5:M17)),"")</f>
        <v/>
      </c>
    </row>
    <row r="19" spans="2:13">
      <c r="B19" s="10" t="s">
        <v>37</v>
      </c>
      <c r="C19" s="6" t="s">
        <v>7</v>
      </c>
      <c r="D19" s="6" t="s">
        <v>5</v>
      </c>
      <c r="E19" s="6" t="s">
        <v>5</v>
      </c>
      <c r="F19" s="19">
        <f>IF(OR(ISNUMBER(SEARCH($K$4,E19)),ISNUMBER(SEARCH($K$4,D19))),ROWS($B$4:B19),"")</f>
        <v>16</v>
      </c>
      <c r="G19" s="23" t="str">
        <f>IFERROR(SMALL($F$4:$F$25,ROWS($B$4:B19)),"")</f>
        <v/>
      </c>
      <c r="J19" s="12" t="str">
        <f>IFERROR(INDEX(Table1[[Product Name]:[Country2]],'Dynamic Filter Demo'!$G17,COLUMNS($J$5:J18)),"")</f>
        <v/>
      </c>
      <c r="K19" s="17" t="str">
        <f>IFERROR(INDEX(Table1[[Product Name]:[Country2]],'Dynamic Filter Demo'!$G17,COLUMNS($J$5:K18)),"")</f>
        <v/>
      </c>
      <c r="L19" s="18" t="str">
        <f>IFERROR(INDEX(Table1[[Product Name]:[Country2]],'Dynamic Filter Demo'!G17,COLUMNS($J$5:L18)),"")</f>
        <v/>
      </c>
      <c r="M19" s="18" t="str">
        <f>IFERROR(INDEX(Table1[[Product Name]:[Country2]],'Dynamic Filter Demo'!G17,COLUMNS($J$5:M18)),"")</f>
        <v/>
      </c>
    </row>
    <row r="20" spans="2:13">
      <c r="B20" s="10" t="s">
        <v>42</v>
      </c>
      <c r="C20" s="6" t="s">
        <v>43</v>
      </c>
      <c r="D20" s="6" t="s">
        <v>5</v>
      </c>
      <c r="E20" s="6" t="s">
        <v>5</v>
      </c>
      <c r="F20" s="19">
        <f>IF(OR(ISNUMBER(SEARCH($K$4,E20)),ISNUMBER(SEARCH($K$4,D20))),ROWS($B$4:B20),"")</f>
        <v>17</v>
      </c>
      <c r="G20" s="23" t="str">
        <f>IFERROR(SMALL($F$4:$F$25,ROWS($B$4:B20)),"")</f>
        <v/>
      </c>
      <c r="J20" s="12" t="str">
        <f>IFERROR(INDEX(Table1[[Product Name]:[Country2]],'Dynamic Filter Demo'!$G18,COLUMNS($J$5:J19)),"")</f>
        <v/>
      </c>
      <c r="K20" s="17" t="str">
        <f>IFERROR(INDEX(Table1[[Product Name]:[Country2]],'Dynamic Filter Demo'!$G18,COLUMNS($J$5:K19)),"")</f>
        <v/>
      </c>
      <c r="L20" s="18" t="str">
        <f>IFERROR(INDEX(Table1[[Product Name]:[Country2]],'Dynamic Filter Demo'!G18,COLUMNS($J$5:L19)),"")</f>
        <v/>
      </c>
      <c r="M20" s="18" t="str">
        <f>IFERROR(INDEX(Table1[[Product Name]:[Country2]],'Dynamic Filter Demo'!G18,COLUMNS($J$5:M19)),"")</f>
        <v/>
      </c>
    </row>
    <row r="21" spans="2:13">
      <c r="B21" s="10" t="s">
        <v>44</v>
      </c>
      <c r="C21" s="6" t="s">
        <v>43</v>
      </c>
      <c r="D21" s="6" t="s">
        <v>5</v>
      </c>
      <c r="E21" s="6" t="s">
        <v>5</v>
      </c>
      <c r="F21" s="19">
        <f>IF(OR(ISNUMBER(SEARCH($K$4,E21)),ISNUMBER(SEARCH($K$4,D21))),ROWS($B$4:B21),"")</f>
        <v>18</v>
      </c>
      <c r="G21" s="23" t="str">
        <f>IFERROR(SMALL($F$4:$F$25,ROWS($B$4:B21)),"")</f>
        <v/>
      </c>
      <c r="J21" s="12" t="str">
        <f>IFERROR(INDEX(Table1[[Product Name]:[Country2]],'Dynamic Filter Demo'!$G19,COLUMNS($J$5:J20)),"")</f>
        <v/>
      </c>
      <c r="K21" s="17" t="str">
        <f>IFERROR(INDEX(Table1[[Product Name]:[Country2]],'Dynamic Filter Demo'!$G19,COLUMNS($J$5:K20)),"")</f>
        <v/>
      </c>
      <c r="L21" s="18" t="str">
        <f>IFERROR(INDEX(Table1[[Product Name]:[Country2]],'Dynamic Filter Demo'!G19,COLUMNS($J$5:L20)),"")</f>
        <v/>
      </c>
      <c r="M21" s="18" t="str">
        <f>IFERROR(INDEX(Table1[[Product Name]:[Country2]],'Dynamic Filter Demo'!G19,COLUMNS($J$5:M20)),"")</f>
        <v/>
      </c>
    </row>
    <row r="22" spans="2:13">
      <c r="B22" s="10" t="s">
        <v>9</v>
      </c>
      <c r="C22" s="6" t="s">
        <v>10</v>
      </c>
      <c r="D22" s="6" t="s">
        <v>11</v>
      </c>
      <c r="E22" s="6" t="s">
        <v>11</v>
      </c>
      <c r="F22" s="19" t="str">
        <f>IF(OR(ISNUMBER(SEARCH($K$4,E22)),ISNUMBER(SEARCH($K$4,D22))),ROWS($B$4:B22),"")</f>
        <v/>
      </c>
      <c r="G22" s="23" t="str">
        <f>IFERROR(SMALL($F$4:$F$25,ROWS($B$4:B22)),"")</f>
        <v/>
      </c>
      <c r="J22" s="12" t="str">
        <f>IFERROR(INDEX(Table1[[Product Name]:[Country2]],'Dynamic Filter Demo'!$G20,COLUMNS($J$5:J21)),"")</f>
        <v/>
      </c>
      <c r="K22" s="17" t="str">
        <f>IFERROR(INDEX(Table1[[Product Name]:[Country2]],'Dynamic Filter Demo'!$G20,COLUMNS($J$5:K21)),"")</f>
        <v/>
      </c>
      <c r="L22" s="18" t="str">
        <f>IFERROR(INDEX(Table1[[Product Name]:[Country2]],'Dynamic Filter Demo'!G20,COLUMNS($J$5:L21)),"")</f>
        <v/>
      </c>
      <c r="M22" s="18" t="str">
        <f>IFERROR(INDEX(Table1[[Product Name]:[Country2]],'Dynamic Filter Demo'!G20,COLUMNS($J$5:M21)),"")</f>
        <v/>
      </c>
    </row>
    <row r="23" spans="2:13">
      <c r="B23" s="10" t="s">
        <v>15</v>
      </c>
      <c r="C23" s="6" t="s">
        <v>16</v>
      </c>
      <c r="D23" s="6" t="s">
        <v>8</v>
      </c>
      <c r="E23" s="6" t="s">
        <v>8</v>
      </c>
      <c r="F23" s="19" t="str">
        <f>IF(OR(ISNUMBER(SEARCH($K$4,E23)),ISNUMBER(SEARCH($K$4,D23))),ROWS($B$4:B23),"")</f>
        <v/>
      </c>
      <c r="G23" s="23" t="str">
        <f>IFERROR(SMALL($F$4:$F$25,ROWS($B$4:B23)),"")</f>
        <v/>
      </c>
      <c r="J23" s="12" t="str">
        <f>IFERROR(INDEX(Table1[[Product Name]:[Country2]],'Dynamic Filter Demo'!$G21,COLUMNS($J$5:J22)),"")</f>
        <v/>
      </c>
      <c r="K23" s="17" t="str">
        <f>IFERROR(INDEX(Table1[[Product Name]:[Country2]],'Dynamic Filter Demo'!$G21,COLUMNS($J$5:K22)),"")</f>
        <v/>
      </c>
      <c r="L23" s="18" t="str">
        <f>IFERROR(INDEX(Table1[[Product Name]:[Country2]],'Dynamic Filter Demo'!G21,COLUMNS($J$5:L22)),"")</f>
        <v/>
      </c>
      <c r="M23" s="18" t="str">
        <f>IFERROR(INDEX(Table1[[Product Name]:[Country2]],'Dynamic Filter Demo'!G21,COLUMNS($J$5:M22)),"")</f>
        <v/>
      </c>
    </row>
    <row r="24" spans="2:13">
      <c r="B24" s="10" t="s">
        <v>18</v>
      </c>
      <c r="C24" s="6" t="s">
        <v>19</v>
      </c>
      <c r="D24" s="6" t="s">
        <v>5</v>
      </c>
      <c r="E24" s="6" t="s">
        <v>5</v>
      </c>
      <c r="F24" s="19">
        <f>IF(OR(ISNUMBER(SEARCH($K$4,E24)),ISNUMBER(SEARCH($K$4,D24))),ROWS($B$4:B24),"")</f>
        <v>21</v>
      </c>
      <c r="G24" s="23" t="str">
        <f>IFERROR(SMALL($F$4:$F$25,ROWS($B$4:B24)),"")</f>
        <v/>
      </c>
      <c r="J24" s="12" t="str">
        <f>IFERROR(INDEX(Table1[[Product Name]:[Country2]],'Dynamic Filter Demo'!$G22,COLUMNS($J$5:J23)),"")</f>
        <v/>
      </c>
      <c r="K24" s="17" t="str">
        <f>IFERROR(INDEX(Table1[[Product Name]:[Country2]],'Dynamic Filter Demo'!$G22,COLUMNS($J$5:K23)),"")</f>
        <v/>
      </c>
      <c r="L24" s="18" t="str">
        <f>IFERROR(INDEX(Table1[[Product Name]:[Country2]],'Dynamic Filter Demo'!G22,COLUMNS($J$5:L23)),"")</f>
        <v/>
      </c>
      <c r="M24" s="18" t="str">
        <f>IFERROR(INDEX(Table1[[Product Name]:[Country2]],'Dynamic Filter Demo'!G22,COLUMNS($J$5:M23)),"")</f>
        <v/>
      </c>
    </row>
    <row r="25" spans="2:13">
      <c r="B25" s="10" t="s">
        <v>20</v>
      </c>
      <c r="C25" s="6" t="s">
        <v>21</v>
      </c>
      <c r="D25" s="6" t="s">
        <v>31</v>
      </c>
      <c r="E25" s="6" t="s">
        <v>22</v>
      </c>
      <c r="F25" s="19" t="str">
        <f>IF(OR(ISNUMBER(SEARCH($K$4,E25)),ISNUMBER(SEARCH($K$4,D25))),ROWS($B$4:B25),"")</f>
        <v/>
      </c>
      <c r="G25" s="23" t="str">
        <f>IFERROR(SMALL($F$4:$F$25,ROWS($B$4:B25)),"")</f>
        <v/>
      </c>
      <c r="J25" s="12" t="str">
        <f>IFERROR(INDEX(Table1[[Product Name]:[Country2]],'Dynamic Filter Demo'!$G23,COLUMNS($J$5:J24)),"")</f>
        <v/>
      </c>
      <c r="K25" s="17" t="str">
        <f>IFERROR(INDEX(Table1[[Product Name]:[Country2]],'Dynamic Filter Demo'!$G23,COLUMNS($J$5:K24)),"")</f>
        <v/>
      </c>
      <c r="L25" s="18" t="str">
        <f>IFERROR(INDEX(Table1[[Product Name]:[Country2]],'Dynamic Filter Demo'!G23,COLUMNS($J$5:L24)),"")</f>
        <v/>
      </c>
      <c r="M25" s="18" t="str">
        <f>IFERROR(INDEX(Table1[[Product Name]:[Country2]],'Dynamic Filter Demo'!G23,COLUMNS($J$5:M24)),"")</f>
        <v/>
      </c>
    </row>
    <row r="26" spans="2:13">
      <c r="C26" s="2"/>
      <c r="D26" s="2"/>
      <c r="J26" s="12" t="str">
        <f>IFERROR(INDEX(Table1[[Product Name]:[Country2]],'Dynamic Filter Demo'!$G24,COLUMNS($J$5:J25)),"")</f>
        <v/>
      </c>
      <c r="K26" s="17" t="str">
        <f>IFERROR(INDEX(Table1[[Product Name]:[Country2]],'Dynamic Filter Demo'!$G24,COLUMNS($J$5:K25)),"")</f>
        <v/>
      </c>
      <c r="L26" s="18" t="str">
        <f>IFERROR(INDEX(Table1[[Product Name]:[Country2]],'Dynamic Filter Demo'!G24,COLUMNS($J$5:L25)),"")</f>
        <v/>
      </c>
      <c r="M26" s="18" t="str">
        <f>IFERROR(INDEX(Table1[[Product Name]:[Country2]],'Dynamic Filter Demo'!G24,COLUMNS($J$5:M25)),"")</f>
        <v/>
      </c>
    </row>
    <row r="27" spans="2:13">
      <c r="C27" s="3"/>
      <c r="D27" s="3"/>
      <c r="J27" s="12" t="str">
        <f>IFERROR(INDEX(Table1[[Product Name]:[Country2]],'Dynamic Filter Demo'!$G25,COLUMNS($J$5:J26)),"")</f>
        <v/>
      </c>
      <c r="K27" s="17" t="str">
        <f>IFERROR(INDEX(Table1[[Product Name]:[Country2]],'Dynamic Filter Demo'!$G25,COLUMNS($J$5:K26)),"")</f>
        <v/>
      </c>
      <c r="L27" s="18" t="str">
        <f>IFERROR(INDEX(Table1[[Product Name]:[Country2]],'Dynamic Filter Demo'!G25,COLUMNS($J$5:L26)),"")</f>
        <v/>
      </c>
      <c r="M27" s="18" t="str">
        <f>IFERROR(INDEX(Table1[[Product Name]:[Country2]],'Dynamic Filter Demo'!G25,COLUMNS($J$5:M26)),"")</f>
        <v/>
      </c>
    </row>
    <row r="28" spans="2:13">
      <c r="C28" s="3"/>
      <c r="D28" s="3"/>
      <c r="J28" s="12" t="str">
        <f>IFERROR(INDEX(Table1[[Product Name]:[Country2]],'Dynamic Filter Demo'!$G26,COLUMNS($J$5:J27)),"")</f>
        <v/>
      </c>
      <c r="K28" s="17" t="str">
        <f>IFERROR(INDEX(Table1[[Product Name]:[Country2]],'Dynamic Filter Demo'!$G26,COLUMNS($J$5:K27)),"")</f>
        <v/>
      </c>
      <c r="L28" s="18" t="str">
        <f>IFERROR(INDEX(Table1[[Product Name]:[Country2]],'Dynamic Filter Demo'!G26,COLUMNS($J$5:L27)),"")</f>
        <v/>
      </c>
      <c r="M28" s="18" t="str">
        <f>IFERROR(INDEX(Table1[[Product Name]:[Country2]],'Dynamic Filter Demo'!G26,COLUMNS($J$5:M27)),"")</f>
        <v/>
      </c>
    </row>
    <row r="29" spans="2:13">
      <c r="C29" s="3"/>
      <c r="D29" s="3"/>
      <c r="J29" s="12" t="str">
        <f>IFERROR(INDEX(Table1[[Product Name]:[Country2]],'Dynamic Filter Demo'!$G27,COLUMNS($J$5:J28)),"")</f>
        <v/>
      </c>
      <c r="K29" s="17" t="str">
        <f>IFERROR(INDEX(Table1[[Product Name]:[Country2]],'Dynamic Filter Demo'!$G27,COLUMNS($J$5:K28)),"")</f>
        <v/>
      </c>
      <c r="L29" s="18" t="str">
        <f>IFERROR(INDEX(Table1[[Product Name]:[Country2]],'Dynamic Filter Demo'!G27,COLUMNS($J$5:L28)),"")</f>
        <v/>
      </c>
      <c r="M29" s="18" t="str">
        <f>IFERROR(INDEX(Table1[[Product Name]:[Country2]],'Dynamic Filter Demo'!G27,COLUMNS($J$5:M28)),"")</f>
        <v/>
      </c>
    </row>
    <row r="30" spans="2:13">
      <c r="C30" s="3"/>
      <c r="D30" s="3"/>
    </row>
    <row r="31" spans="2:13">
      <c r="C31" s="3"/>
      <c r="D31" s="3"/>
    </row>
    <row r="32" spans="2:13">
      <c r="C32" s="3"/>
      <c r="D32" s="3"/>
    </row>
    <row r="33" spans="3:5">
      <c r="C33" s="3"/>
      <c r="D33" s="3"/>
    </row>
    <row r="34" spans="3:5">
      <c r="C34" s="3"/>
      <c r="D34" s="3"/>
    </row>
    <row r="37" spans="3:5">
      <c r="E37" s="4"/>
    </row>
  </sheetData>
  <pageMargins left="0.7" right="0.7" top="0.75" bottom="0.75" header="0.3" footer="0.3"/>
  <pageSetup paperSize="9" orientation="portrait" r:id="rId1"/>
  <legacyDrawing r:id="rId2"/>
  <controls>
    <control shapeId="1030" r:id="rId3" name="ComboBox21"/>
  </controls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9"/>
  <sheetViews>
    <sheetView workbookViewId="0">
      <selection activeCell="A2" sqref="A2:A9"/>
    </sheetView>
  </sheetViews>
  <sheetFormatPr defaultRowHeight="15"/>
  <cols>
    <col min="1" max="1" width="11.625" bestFit="1" customWidth="1"/>
  </cols>
  <sheetData>
    <row r="1" spans="1:1">
      <c r="A1" s="7" t="s">
        <v>38</v>
      </c>
    </row>
    <row r="2" spans="1:1">
      <c r="A2" s="6" t="s">
        <v>5</v>
      </c>
    </row>
    <row r="3" spans="1:1">
      <c r="A3" s="6" t="s">
        <v>8</v>
      </c>
    </row>
    <row r="4" spans="1:1">
      <c r="A4" s="6" t="s">
        <v>11</v>
      </c>
    </row>
    <row r="5" spans="1:1">
      <c r="A5" s="6" t="s">
        <v>13</v>
      </c>
    </row>
    <row r="6" spans="1:1">
      <c r="A6" s="6" t="s">
        <v>22</v>
      </c>
    </row>
    <row r="7" spans="1:1">
      <c r="A7" s="6" t="s">
        <v>25</v>
      </c>
    </row>
    <row r="8" spans="1:1">
      <c r="A8" s="6" t="s">
        <v>27</v>
      </c>
    </row>
    <row r="9" spans="1:1">
      <c r="A9" s="6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S30"/>
  <sheetViews>
    <sheetView workbookViewId="0">
      <selection activeCell="K3" sqref="K3:N28"/>
    </sheetView>
  </sheetViews>
  <sheetFormatPr defaultRowHeight="15"/>
  <sheetData>
    <row r="1" spans="1:19">
      <c r="A1" s="1"/>
      <c r="B1" s="1"/>
      <c r="C1" s="1"/>
      <c r="D1" s="1"/>
      <c r="E1" s="1"/>
      <c r="F1" s="1"/>
    </row>
    <row r="2" spans="1:19">
      <c r="C2" s="5" t="s">
        <v>5</v>
      </c>
    </row>
    <row r="8" spans="1:19">
      <c r="S8" s="7" t="s">
        <v>38</v>
      </c>
    </row>
    <row r="9" spans="1:19">
      <c r="S9" s="6" t="s">
        <v>5</v>
      </c>
    </row>
    <row r="10" spans="1:19">
      <c r="S10" s="6" t="s">
        <v>8</v>
      </c>
    </row>
    <row r="11" spans="1:19">
      <c r="D11" s="20" t="str">
        <f>HYPERLINK('Dynamic Filter Demo'!B9)</f>
        <v>Product 13</v>
      </c>
      <c r="S11" s="6" t="s">
        <v>11</v>
      </c>
    </row>
    <row r="12" spans="1:19">
      <c r="S12" s="6" t="s">
        <v>13</v>
      </c>
    </row>
    <row r="13" spans="1:19">
      <c r="S13" s="6" t="s">
        <v>22</v>
      </c>
    </row>
    <row r="14" spans="1:19">
      <c r="D14" s="20" t="str">
        <f>HYPERLINK("herth")</f>
        <v>herth</v>
      </c>
      <c r="S14" s="6" t="s">
        <v>25</v>
      </c>
    </row>
    <row r="15" spans="1:19">
      <c r="S15" s="6" t="s">
        <v>27</v>
      </c>
    </row>
    <row r="16" spans="1:19">
      <c r="S16" s="6" t="s">
        <v>31</v>
      </c>
    </row>
    <row r="19" spans="7:10">
      <c r="H19" t="e">
        <f>Vi</f>
        <v>#NAME?</v>
      </c>
      <c r="I19" t="str">
        <f>vig_wt1</f>
        <v>Product 1</v>
      </c>
    </row>
    <row r="24" spans="7:10">
      <c r="G24" t="e">
        <f>vignesh</f>
        <v>#VALUE!</v>
      </c>
    </row>
    <row r="27" spans="7:10">
      <c r="J27" t="str">
        <f>vig_wt1</f>
        <v>Product 1</v>
      </c>
    </row>
    <row r="29" spans="7:10">
      <c r="H29" t="e">
        <f>Vig</f>
        <v>#NAME?</v>
      </c>
    </row>
    <row r="30" spans="7:10">
      <c r="H30" t="e">
        <f>San_Walle</f>
        <v>#REF!</v>
      </c>
    </row>
  </sheetData>
  <dataValidations count="1">
    <dataValidation type="list" allowBlank="1" showInputMessage="1" showErrorMessage="1" sqref="F3">
      <formula1>$C$27:$C$35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Dynamic Filter Demo</vt:lpstr>
      <vt:lpstr>UniqueList</vt:lpstr>
      <vt:lpstr>Sheet1</vt:lpstr>
      <vt:lpstr>CountryList</vt:lpstr>
      <vt:lpstr>Name</vt:lpstr>
      <vt:lpstr>Vig_Wallet</vt:lpstr>
      <vt:lpstr>vig_wt1</vt:lpstr>
      <vt:lpstr>vignesh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2017-01-31T10:35:56Z</dcterms:modified>
</cp:coreProperties>
</file>